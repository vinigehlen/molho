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Premissas" sheetId="2" state="visible" r:id="rId4"/>
    <sheet name="Custo por Lojista" sheetId="3" state="visible" r:id="rId5"/>
    <sheet name="Margem por Plano" sheetId="4" state="visible" r:id="rId6"/>
    <sheet name="Projeção 24m" sheetId="5" state="visible" r:id="rId7"/>
    <sheet name="Cenário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<sst xmlns="http://schemas.openxmlformats.org/spreadsheetml/2006/main" count="147" uniqueCount="141">
  <si>
    <t xml:space="preserve">Molho — Unit Economics e Viabilidade</t>
  </si>
  <si>
    <t xml:space="preserve">Como usar</t>
  </si>
  <si>
    <t xml:space="preserve">Edite APENAS as células azuis nas abas 'Premissas' e 'Cenários'.</t>
  </si>
  <si>
    <t xml:space="preserve">Células pretas são fórmulas — não sobrescreva.</t>
  </si>
  <si>
    <t xml:space="preserve">Células amarelas são as premissas mais sensíveis (mexa aqui primeiro).</t>
  </si>
  <si>
    <t xml:space="preserve">Abas</t>
  </si>
  <si>
    <t xml:space="preserve">Premissas</t>
  </si>
  <si>
    <t xml:space="preserve">Todos os custos e preços. É aqui que você mexe.</t>
  </si>
  <si>
    <t xml:space="preserve">Custo por Lojista</t>
  </si>
  <si>
    <t xml:space="preserve">Quanto custa servir UM restaurante por mês, por plano.</t>
  </si>
  <si>
    <t xml:space="preserve">Margem por Plano</t>
  </si>
  <si>
    <t xml:space="preserve">Margem bruta de cada plano. Responde: 'R$ 99 dá lucro?'</t>
  </si>
  <si>
    <t xml:space="preserve">Projeção 24m</t>
  </si>
  <si>
    <t xml:space="preserve">Receita, custo, lucro e caixa mês a mês.</t>
  </si>
  <si>
    <t xml:space="preserve">Cenários</t>
  </si>
  <si>
    <t xml:space="preserve">Pessimista / Base / Otimista — sensibilidade a churn e crescimento.</t>
  </si>
  <si>
    <t xml:space="preserve">Premissas-chave desta versão</t>
  </si>
  <si>
    <t xml:space="preserve">WhatsApp = click-to-chat → custo ZERO por mensagem (decisão de produto).</t>
  </si>
  <si>
    <t xml:space="preserve">Pagamento cai na conta do lojista → Molho NÃO paga taxa de PSP do pedido.</t>
  </si>
  <si>
    <t xml:space="preserve">Molho paga PSP apenas na cobrança da própria mensalidade (~1 transação/mês).</t>
  </si>
  <si>
    <t xml:space="preserve">Custos de infra são estimativas de mercado (jul/2026) — ajuste com as contas reais.</t>
  </si>
  <si>
    <t xml:space="preserve">Edite apenas as células AZUIS. Amarelo = mais sensível.</t>
  </si>
  <si>
    <t xml:space="preserve">PREÇOS DOS PLANOS (mensal)</t>
  </si>
  <si>
    <t xml:space="preserve">Standard — preço/mês</t>
  </si>
  <si>
    <t xml:space="preserve">Goomer Básico: R$ 99,90</t>
  </si>
  <si>
    <t xml:space="preserve">Pro — preço/mês</t>
  </si>
  <si>
    <t xml:space="preserve">Goomer Automatizar: R$ 184,90</t>
  </si>
  <si>
    <t xml:space="preserve">Premium — preço/mês</t>
  </si>
  <si>
    <t xml:space="preserve">Goomer Integrar: R$ 299,90</t>
  </si>
  <si>
    <t xml:space="preserve">Add-on NFC-e — preço/mês</t>
  </si>
  <si>
    <t xml:space="preserve">Referência de mercado</t>
  </si>
  <si>
    <t xml:space="preserve">Desconto do plano anual</t>
  </si>
  <si>
    <t xml:space="preserve">Mercado pratica 40-60%</t>
  </si>
  <si>
    <t xml:space="preserve">% de clientes no plano anual</t>
  </si>
  <si>
    <t xml:space="preserve">MIX DE CLIENTES (deve somar 100%)</t>
  </si>
  <si>
    <t xml:space="preserve">% Standard</t>
  </si>
  <si>
    <t xml:space="preserve">% Pro</t>
  </si>
  <si>
    <t xml:space="preserve">% Premium</t>
  </si>
  <si>
    <t xml:space="preserve">Soma (deve dar 100%)</t>
  </si>
  <si>
    <t xml:space="preserve">CUSTO VARIÁVEL POR LOJISTA / MÊS</t>
  </si>
  <si>
    <t xml:space="preserve">Infra: banco, Redis, hosting (share)</t>
  </si>
  <si>
    <t xml:space="preserve">Postgres/Redis/Vercel rateado</t>
  </si>
  <si>
    <t xml:space="preserve">Storage + CDN de imagens (S3/CloudFront)</t>
  </si>
  <si>
    <t xml:space="preserve">~80 fotos + tráfego</t>
  </si>
  <si>
    <t xml:space="preserve">Google Maps (geocoding + mapa)</t>
  </si>
  <si>
    <t xml:space="preserve">COM cache agressivo por CEP</t>
  </si>
  <si>
    <t xml:space="preserve">WhatsApp (click-to-chat)</t>
  </si>
  <si>
    <t xml:space="preserve">Decisão de produto: custo ZERO</t>
  </si>
  <si>
    <t xml:space="preserve">E-mail transacional + SMS fallback OTP</t>
  </si>
  <si>
    <t xml:space="preserve">OTP com rate limit</t>
  </si>
  <si>
    <t xml:space="preserve">PSP: taxa na cobrança da mensalidade</t>
  </si>
  <si>
    <t xml:space="preserve">% sobre a mensalidade do Molho</t>
  </si>
  <si>
    <t xml:space="preserve">Observabilidade/logs (share)</t>
  </si>
  <si>
    <t xml:space="preserve">CUSTO DE SUPORTE (o mais caro e o mais ignorado)</t>
  </si>
  <si>
    <t xml:space="preserve">Chamados por lojista/mês</t>
  </si>
  <si>
    <t xml:space="preserve">Cai com o tempo/self-service</t>
  </si>
  <si>
    <t xml:space="preserve">Minutos por chamado</t>
  </si>
  <si>
    <t xml:space="preserve">Custo/hora do suporte</t>
  </si>
  <si>
    <t xml:space="preserve">CLT + encargos, ou seu tempo</t>
  </si>
  <si>
    <t xml:space="preserve">→ Custo de suporte por lojista/mês</t>
  </si>
  <si>
    <t xml:space="preserve">CUSTOS FIXOS DA EMPRESA / MÊS</t>
  </si>
  <si>
    <t xml:space="preserve">Infra base (ambiente, staging, backups)</t>
  </si>
  <si>
    <t xml:space="preserve">Independe do nº de clientes</t>
  </si>
  <si>
    <t xml:space="preserve">Ferramentas (GitHub, Sentry, PostHog, etc.)</t>
  </si>
  <si>
    <t xml:space="preserve">Claude Code / IA</t>
  </si>
  <si>
    <t xml:space="preserve">Contabilidade e jurídico</t>
  </si>
  <si>
    <t xml:space="preserve">Contrato, DPA, MEI/ME</t>
  </si>
  <si>
    <t xml:space="preserve">Marketing e aquisição</t>
  </si>
  <si>
    <t xml:space="preserve">Ads, conteúdo</t>
  </si>
  <si>
    <t xml:space="preserve">Domínio, marca, misc.</t>
  </si>
  <si>
    <t xml:space="preserve">→ Total de custo fixo/mês</t>
  </si>
  <si>
    <t xml:space="preserve">AQUISIÇÃO E RETENÇÃO</t>
  </si>
  <si>
    <t xml:space="preserve">CAC — custo de aquisição por cliente</t>
  </si>
  <si>
    <t xml:space="preserve">Ads + tempo de venda</t>
  </si>
  <si>
    <t xml:space="preserve">Churn mensal</t>
  </si>
  <si>
    <t xml:space="preserve">SaaS SMB BR: 3-6%/mês</t>
  </si>
  <si>
    <t xml:space="preserve">Novos clientes por mês (base)</t>
  </si>
  <si>
    <t xml:space="preserve">Trial → pago (conversão)</t>
  </si>
  <si>
    <t xml:space="preserve">Meses de trial grátis (custo sem receita)</t>
  </si>
  <si>
    <t xml:space="preserve">7 dias ≈ 0,25 mês</t>
  </si>
  <si>
    <t xml:space="preserve">Custo variável para servir UM lojista / mês</t>
  </si>
  <si>
    <t xml:space="preserve">Componente</t>
  </si>
  <si>
    <t xml:space="preserve">Standard</t>
  </si>
  <si>
    <t xml:space="preserve">Pro</t>
  </si>
  <si>
    <t xml:space="preserve">Premium</t>
  </si>
  <si>
    <t xml:space="preserve">Observação</t>
  </si>
  <si>
    <t xml:space="preserve">Infra (banco, Redis, hosting)</t>
  </si>
  <si>
    <t xml:space="preserve">Premium usa PDV/KDS/iFood → mais carga</t>
  </si>
  <si>
    <t xml:space="preserve">Storage + CDN de imagens</t>
  </si>
  <si>
    <t xml:space="preserve">Google Maps</t>
  </si>
  <si>
    <t xml:space="preserve">Pro/Premium têm mapa de entregas</t>
  </si>
  <si>
    <t xml:space="preserve">Custo zero — decisão de produto</t>
  </si>
  <si>
    <t xml:space="preserve">E-mail + SMS OTP</t>
  </si>
  <si>
    <t xml:space="preserve">Observabilidade</t>
  </si>
  <si>
    <t xml:space="preserve">PSP sobre a mensalidade</t>
  </si>
  <si>
    <t xml:space="preserve">Só na cobrança do Molho</t>
  </si>
  <si>
    <t xml:space="preserve">Suporte</t>
  </si>
  <si>
    <t xml:space="preserve">Plano maior gera mais chamado</t>
  </si>
  <si>
    <t xml:space="preserve">CUSTO TOTAL / LOJISTA / MÊS</t>
  </si>
  <si>
    <t xml:space="preserve">Margem bruta por plano</t>
  </si>
  <si>
    <t xml:space="preserve">Responde: 'R$ 99 dá lucro?'</t>
  </si>
  <si>
    <t xml:space="preserve">Preço de tabela (mensal)</t>
  </si>
  <si>
    <t xml:space="preserve">Preço médio (com mix anual)</t>
  </si>
  <si>
    <t xml:space="preserve">Custo variável / mês</t>
  </si>
  <si>
    <t xml:space="preserve">Margem bruta (R$)</t>
  </si>
  <si>
    <t xml:space="preserve">Margem bruta (%)</t>
  </si>
  <si>
    <t xml:space="preserve">CAC</t>
  </si>
  <si>
    <t xml:space="preserve">Payback do CAC (meses)</t>
  </si>
  <si>
    <t xml:space="preserve">Tempo de vida (meses) = 1/churn</t>
  </si>
  <si>
    <t xml:space="preserve">LTV (margem x vida)</t>
  </si>
  <si>
    <t xml:space="preserve">LTV / CAC</t>
  </si>
  <si>
    <t xml:space="preserve">Referências de saúde de SaaS:</t>
  </si>
  <si>
    <t xml:space="preserve">Margem bruta &gt; 75% · LTV/CAC &gt; 3x · Payback do CAC &lt; 12 meses</t>
  </si>
  <si>
    <t xml:space="preserve">Projeção 24 meses</t>
  </si>
  <si>
    <t xml:space="preserve">ARPU médio (mix)</t>
  </si>
  <si>
    <t xml:space="preserve">Custo var. médio (mix)</t>
  </si>
  <si>
    <t xml:space="preserve">Mês</t>
  </si>
  <si>
    <t xml:space="preserve">Clientes (início)</t>
  </si>
  <si>
    <t xml:space="preserve">Novos</t>
  </si>
  <si>
    <t xml:space="preserve">Churn</t>
  </si>
  <si>
    <t xml:space="preserve">Clientes (fim)</t>
  </si>
  <si>
    <t xml:space="preserve">Receita (MRR)</t>
  </si>
  <si>
    <t xml:space="preserve">Custo variável</t>
  </si>
  <si>
    <t xml:space="preserve">Custo fixo</t>
  </si>
  <si>
    <t xml:space="preserve">CAC investido</t>
  </si>
  <si>
    <t xml:space="preserve">Lucro do mês</t>
  </si>
  <si>
    <t xml:space="preserve">Caixa acumulado</t>
  </si>
  <si>
    <t xml:space="preserve">Break-even = primeiro mês com 'Lucro do mês' positivo.</t>
  </si>
  <si>
    <t xml:space="preserve">Clientes necessários p/ break-even:</t>
  </si>
  <si>
    <t xml:space="preserve">Cenários de sensibilidade</t>
  </si>
  <si>
    <t xml:space="preserve">Altere os valores azuis na aba Premissas e compare. Abaixo, o efeito de churn e aquisição no mês 24.</t>
  </si>
  <si>
    <t xml:space="preserve">Cenário</t>
  </si>
  <si>
    <t xml:space="preserve">Novos/mês</t>
  </si>
  <si>
    <t xml:space="preserve">Clientes no mês 24 (aprox.)</t>
  </si>
  <si>
    <t xml:space="preserve">MRR no mês 24</t>
  </si>
  <si>
    <t xml:space="preserve">Pessimista</t>
  </si>
  <si>
    <t xml:space="preserve">Base</t>
  </si>
  <si>
    <t xml:space="preserve">Otimista</t>
  </si>
  <si>
    <t xml:space="preserve">Teto de longo prazo (novos/churn):</t>
  </si>
  <si>
    <t xml:space="preserve">Nota: com churn de 4%/mês e 8 novos/mês, a base estabiliza em ~200 lojas.</t>
  </si>
  <si>
    <t xml:space="preserve">Para crescer além disso: reduzir churn OU aumentar aquisição. Churn é mais barato.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</si>
</sst>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&quot;R$ &quot;#,##0.00;&quot;(R$ &quot;#,##0.00\);\-"/>
    <numFmt numFmtId="166" formatCode="0.0%"/>
    <numFmt numFmtId="167" formatCode="0.0"/>
    <numFmt numFmtId="168" formatCode="#,##0"/>
    <numFmt numFmtId="169" formatCode="0.00"/>
    <numFmt numFmtId="170" formatCode="0.0\x"/>
    <numFmt numFmtId="171" formatCode="&quot;R$ &quot;#,##0;&quot;(R$ &quot;#,##0\);\-"/>
    <numFmt numFmtId="172" formatCode="#,##0&quot;  lojas&quot;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820AD1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585666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820AD1"/>
        <bgColor rgb="FF800080"/>
      </patternFill>
    </fill>
    <fill>
      <patternFill patternType="solid">
        <fgColor rgb="FFFFFF00"/>
        <bgColor rgb="FFFFFF00"/>
      </patternFill>
    </fill>
    <fill>
      <patternFill patternType="solid">
        <fgColor rgb="FFF8F1FE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20AD1"/>
      <rgbColor rgb="FF008080"/>
      <rgbColor rgb="FFC0C0C0"/>
      <rgbColor rgb="FF808080"/>
      <rgbColor rgb="FF9999FF"/>
      <rgbColor rgb="FF993366"/>
      <rgbColor rgb="FFF8F1F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85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3" t="s">
        <v>1</v>
      </c>
      <c r="B3" s="2"/>
    </row>
    <row r="4" customFormat="false" ht="15" hidden="false" customHeight="false" outlineLevel="0" collapsed="false">
      <c r="A4" s="3" t="s">
        <v>2</v>
      </c>
      <c r="B4" s="2"/>
    </row>
    <row r="5" customFormat="false" ht="15" hidden="false" customHeight="false" outlineLevel="0" collapsed="false">
      <c r="A5" s="3" t="s">
        <v>3</v>
      </c>
      <c r="B5" s="2"/>
    </row>
    <row r="6" customFormat="false" ht="15" hidden="false" customHeight="false" outlineLevel="0" collapsed="false">
      <c r="A6" s="3" t="s">
        <v>4</v>
      </c>
      <c r="B6" s="2"/>
    </row>
    <row r="7" customFormat="false" ht="15" hidden="false" customHeight="false" outlineLevel="0" collapsed="false">
      <c r="A7" s="2"/>
      <c r="B7" s="2"/>
    </row>
    <row r="8" customFormat="false" ht="15" hidden="false" customHeight="false" outlineLevel="0" collapsed="false">
      <c r="A8" s="3" t="s">
        <v>5</v>
      </c>
      <c r="B8" s="2"/>
    </row>
    <row r="9" customFormat="false" ht="15" hidden="false" customHeight="false" outlineLevel="0" collapsed="false">
      <c r="A9" s="2" t="s">
        <v>6</v>
      </c>
      <c r="B9" s="2" t="s">
        <v>7</v>
      </c>
    </row>
    <row r="10" customFormat="false" ht="15" hidden="false" customHeight="false" outlineLevel="0" collapsed="false">
      <c r="A10" s="2" t="s">
        <v>8</v>
      </c>
      <c r="B10" s="2" t="s">
        <v>9</v>
      </c>
    </row>
    <row r="11" customFormat="false" ht="15" hidden="false" customHeight="false" outlineLevel="0" collapsed="false">
      <c r="A11" s="2" t="s">
        <v>10</v>
      </c>
      <c r="B11" s="2" t="s">
        <v>11</v>
      </c>
    </row>
    <row r="12" customFormat="false" ht="15" hidden="false" customHeight="false" outlineLevel="0" collapsed="false">
      <c r="A12" s="2" t="s">
        <v>12</v>
      </c>
      <c r="B12" s="2" t="s">
        <v>13</v>
      </c>
    </row>
    <row r="13" customFormat="false" ht="15" hidden="false" customHeight="false" outlineLevel="0" collapsed="false">
      <c r="A13" s="2" t="s">
        <v>14</v>
      </c>
      <c r="B13" s="2" t="s">
        <v>15</v>
      </c>
    </row>
    <row r="14" customFormat="false" ht="15" hidden="false" customHeight="false" outlineLevel="0" collapsed="false">
      <c r="A14" s="2"/>
      <c r="B14" s="2"/>
    </row>
    <row r="15" customFormat="false" ht="15" hidden="false" customHeight="false" outlineLevel="0" collapsed="false">
      <c r="A15" s="3" t="s">
        <v>16</v>
      </c>
      <c r="B15" s="2"/>
    </row>
    <row r="16" customFormat="false" ht="15" hidden="false" customHeight="false" outlineLevel="0" collapsed="false">
      <c r="A16" s="3" t="s">
        <v>17</v>
      </c>
      <c r="B16" s="2"/>
    </row>
    <row r="17" customFormat="false" ht="15" hidden="false" customHeight="false" outlineLevel="0" collapsed="false">
      <c r="A17" s="3" t="s">
        <v>18</v>
      </c>
      <c r="B17" s="2"/>
    </row>
    <row r="18" customFormat="false" ht="15" hidden="false" customHeight="false" outlineLevel="0" collapsed="false">
      <c r="A18" s="3" t="s">
        <v>19</v>
      </c>
      <c r="B18" s="2"/>
    </row>
    <row r="19" customFormat="false" ht="15" hidden="false" customHeight="false" outlineLevel="0" collapsed="false">
      <c r="A19" s="3" t="s">
        <v>20</v>
      </c>
      <c r="B1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42"/>
  </cols>
  <sheetData>
    <row r="1" customFormat="false" ht="17.35" hidden="false" customHeight="false" outlineLevel="0" collapsed="false">
      <c r="A1" s="1" t="s">
        <v>6</v>
      </c>
    </row>
    <row r="2" customFormat="false" ht="15" hidden="false" customHeight="false" outlineLevel="0" collapsed="false">
      <c r="A2" s="4" t="s">
        <v>21</v>
      </c>
    </row>
    <row r="4" customFormat="false" ht="15" hidden="false" customHeight="false" outlineLevel="0" collapsed="false">
      <c r="A4" s="5" t="s">
        <v>22</v>
      </c>
      <c r="B4" s="5"/>
      <c r="C4" s="5"/>
      <c r="D4" s="5"/>
    </row>
    <row r="5" customFormat="false" ht="15" hidden="false" customHeight="false" outlineLevel="0" collapsed="false">
      <c r="A5" s="2" t="s">
        <v>23</v>
      </c>
      <c r="B5" s="6" t="n">
        <v>99</v>
      </c>
      <c r="C5" s="7" t="s">
        <v>24</v>
      </c>
    </row>
    <row r="6" customFormat="false" ht="15" hidden="false" customHeight="false" outlineLevel="0" collapsed="false">
      <c r="A6" s="2" t="s">
        <v>25</v>
      </c>
      <c r="B6" s="6" t="n">
        <v>189</v>
      </c>
      <c r="C6" s="7" t="s">
        <v>26</v>
      </c>
    </row>
    <row r="7" customFormat="false" ht="15" hidden="false" customHeight="false" outlineLevel="0" collapsed="false">
      <c r="A7" s="2" t="s">
        <v>27</v>
      </c>
      <c r="B7" s="6" t="n">
        <v>299</v>
      </c>
      <c r="C7" s="7" t="s">
        <v>28</v>
      </c>
    </row>
    <row r="8" customFormat="false" ht="15" hidden="false" customHeight="false" outlineLevel="0" collapsed="false">
      <c r="A8" s="2" t="s">
        <v>29</v>
      </c>
      <c r="B8" s="8" t="n">
        <v>39.9</v>
      </c>
      <c r="C8" s="7" t="s">
        <v>30</v>
      </c>
    </row>
    <row r="9" customFormat="false" ht="15" hidden="false" customHeight="false" outlineLevel="0" collapsed="false">
      <c r="A9" s="2" t="s">
        <v>31</v>
      </c>
      <c r="B9" s="9" t="n">
        <v>0.3</v>
      </c>
      <c r="C9" s="7" t="s">
        <v>32</v>
      </c>
    </row>
    <row r="10" customFormat="false" ht="15" hidden="false" customHeight="false" outlineLevel="0" collapsed="false">
      <c r="A10" s="2" t="s">
        <v>33</v>
      </c>
      <c r="B10" s="9" t="n">
        <v>0.3</v>
      </c>
      <c r="C10" s="7"/>
    </row>
    <row r="12" customFormat="false" ht="15" hidden="false" customHeight="false" outlineLevel="0" collapsed="false">
      <c r="A12" s="5" t="s">
        <v>34</v>
      </c>
      <c r="B12" s="5"/>
      <c r="C12" s="5"/>
      <c r="D12" s="5"/>
    </row>
    <row r="13" customFormat="false" ht="15" hidden="false" customHeight="false" outlineLevel="0" collapsed="false">
      <c r="A13" s="2" t="s">
        <v>35</v>
      </c>
      <c r="B13" s="10" t="n">
        <v>0.5</v>
      </c>
      <c r="C13" s="7"/>
    </row>
    <row r="14" customFormat="false" ht="15" hidden="false" customHeight="false" outlineLevel="0" collapsed="false">
      <c r="A14" s="2" t="s">
        <v>36</v>
      </c>
      <c r="B14" s="10" t="n">
        <v>0.35</v>
      </c>
      <c r="C14" s="7"/>
    </row>
    <row r="15" customFormat="false" ht="15" hidden="false" customHeight="false" outlineLevel="0" collapsed="false">
      <c r="A15" s="2" t="s">
        <v>37</v>
      </c>
      <c r="B15" s="10" t="n">
        <v>0.15</v>
      </c>
      <c r="C15" s="7"/>
    </row>
    <row r="16" customFormat="false" ht="15" hidden="false" customHeight="false" outlineLevel="0" collapsed="false">
      <c r="A16" s="3" t="s">
        <v>38</v>
      </c>
      <c r="B16" s="11" t="n">
        <f aca="false">SUM(B13:B15)</f>
        <v>1</v>
      </c>
    </row>
    <row r="18" customFormat="false" ht="15" hidden="false" customHeight="false" outlineLevel="0" collapsed="false">
      <c r="A18" s="5" t="s">
        <v>39</v>
      </c>
      <c r="B18" s="5"/>
      <c r="C18" s="5"/>
      <c r="D18" s="5"/>
    </row>
    <row r="19" customFormat="false" ht="15" hidden="false" customHeight="false" outlineLevel="0" collapsed="false">
      <c r="A19" s="2" t="s">
        <v>40</v>
      </c>
      <c r="B19" s="8" t="n">
        <v>8</v>
      </c>
      <c r="C19" s="7" t="s">
        <v>41</v>
      </c>
    </row>
    <row r="20" customFormat="false" ht="15" hidden="false" customHeight="false" outlineLevel="0" collapsed="false">
      <c r="A20" s="2" t="s">
        <v>42</v>
      </c>
      <c r="B20" s="8" t="n">
        <v>3</v>
      </c>
      <c r="C20" s="7" t="s">
        <v>43</v>
      </c>
    </row>
    <row r="21" customFormat="false" ht="15" hidden="false" customHeight="false" outlineLevel="0" collapsed="false">
      <c r="A21" s="2" t="s">
        <v>44</v>
      </c>
      <c r="B21" s="6" t="n">
        <v>6</v>
      </c>
      <c r="C21" s="7" t="s">
        <v>45</v>
      </c>
    </row>
    <row r="22" customFormat="false" ht="15" hidden="false" customHeight="false" outlineLevel="0" collapsed="false">
      <c r="A22" s="2" t="s">
        <v>46</v>
      </c>
      <c r="B22" s="6" t="n">
        <v>0</v>
      </c>
      <c r="C22" s="7" t="s">
        <v>47</v>
      </c>
    </row>
    <row r="23" customFormat="false" ht="15" hidden="false" customHeight="false" outlineLevel="0" collapsed="false">
      <c r="A23" s="2" t="s">
        <v>48</v>
      </c>
      <c r="B23" s="8" t="n">
        <v>2</v>
      </c>
      <c r="C23" s="7" t="s">
        <v>49</v>
      </c>
    </row>
    <row r="24" customFormat="false" ht="15" hidden="false" customHeight="false" outlineLevel="0" collapsed="false">
      <c r="A24" s="2" t="s">
        <v>50</v>
      </c>
      <c r="B24" s="9" t="n">
        <v>0.03</v>
      </c>
      <c r="C24" s="7" t="s">
        <v>51</v>
      </c>
    </row>
    <row r="25" customFormat="false" ht="15" hidden="false" customHeight="false" outlineLevel="0" collapsed="false">
      <c r="A25" s="2" t="s">
        <v>52</v>
      </c>
      <c r="B25" s="8" t="n">
        <v>2</v>
      </c>
      <c r="C25" s="7"/>
    </row>
    <row r="27" customFormat="false" ht="15" hidden="false" customHeight="false" outlineLevel="0" collapsed="false">
      <c r="A27" s="5" t="s">
        <v>53</v>
      </c>
      <c r="B27" s="5"/>
      <c r="C27" s="5"/>
      <c r="D27" s="5"/>
    </row>
    <row r="28" customFormat="false" ht="15" hidden="false" customHeight="false" outlineLevel="0" collapsed="false">
      <c r="A28" s="2" t="s">
        <v>54</v>
      </c>
      <c r="B28" s="12" t="n">
        <v>1.5</v>
      </c>
      <c r="C28" s="7" t="s">
        <v>55</v>
      </c>
    </row>
    <row r="29" customFormat="false" ht="15" hidden="false" customHeight="false" outlineLevel="0" collapsed="false">
      <c r="A29" s="2" t="s">
        <v>56</v>
      </c>
      <c r="B29" s="13" t="n">
        <v>12</v>
      </c>
      <c r="C29" s="7"/>
    </row>
    <row r="30" customFormat="false" ht="15" hidden="false" customHeight="false" outlineLevel="0" collapsed="false">
      <c r="A30" s="2" t="s">
        <v>57</v>
      </c>
      <c r="B30" s="6" t="n">
        <v>35</v>
      </c>
      <c r="C30" s="7" t="s">
        <v>58</v>
      </c>
    </row>
    <row r="31" customFormat="false" ht="15" hidden="false" customHeight="false" outlineLevel="0" collapsed="false">
      <c r="A31" s="3" t="s">
        <v>59</v>
      </c>
      <c r="B31" s="14" t="n">
        <f aca="false">B28*B29/60*B30</f>
        <v>10.5</v>
      </c>
    </row>
    <row r="33" customFormat="false" ht="15" hidden="false" customHeight="false" outlineLevel="0" collapsed="false">
      <c r="A33" s="5" t="s">
        <v>60</v>
      </c>
      <c r="B33" s="5"/>
      <c r="C33" s="5"/>
      <c r="D33" s="5"/>
    </row>
    <row r="34" customFormat="false" ht="15" hidden="false" customHeight="false" outlineLevel="0" collapsed="false">
      <c r="A34" s="2" t="s">
        <v>61</v>
      </c>
      <c r="B34" s="8" t="n">
        <v>250</v>
      </c>
      <c r="C34" s="7" t="s">
        <v>62</v>
      </c>
    </row>
    <row r="35" customFormat="false" ht="15" hidden="false" customHeight="false" outlineLevel="0" collapsed="false">
      <c r="A35" s="2" t="s">
        <v>63</v>
      </c>
      <c r="B35" s="8" t="n">
        <v>300</v>
      </c>
      <c r="C35" s="7"/>
    </row>
    <row r="36" customFormat="false" ht="15" hidden="false" customHeight="false" outlineLevel="0" collapsed="false">
      <c r="A36" s="2" t="s">
        <v>64</v>
      </c>
      <c r="B36" s="8" t="n">
        <v>200</v>
      </c>
      <c r="C36" s="7"/>
    </row>
    <row r="37" customFormat="false" ht="15" hidden="false" customHeight="false" outlineLevel="0" collapsed="false">
      <c r="A37" s="2" t="s">
        <v>65</v>
      </c>
      <c r="B37" s="8" t="n">
        <v>600</v>
      </c>
      <c r="C37" s="7" t="s">
        <v>66</v>
      </c>
    </row>
    <row r="38" customFormat="false" ht="15" hidden="false" customHeight="false" outlineLevel="0" collapsed="false">
      <c r="A38" s="2" t="s">
        <v>67</v>
      </c>
      <c r="B38" s="6" t="n">
        <v>1000</v>
      </c>
      <c r="C38" s="7" t="s">
        <v>68</v>
      </c>
    </row>
    <row r="39" customFormat="false" ht="15" hidden="false" customHeight="false" outlineLevel="0" collapsed="false">
      <c r="A39" s="2" t="s">
        <v>69</v>
      </c>
      <c r="B39" s="8" t="n">
        <v>100</v>
      </c>
      <c r="C39" s="7"/>
    </row>
    <row r="40" customFormat="false" ht="15" hidden="false" customHeight="false" outlineLevel="0" collapsed="false">
      <c r="A40" s="3" t="s">
        <v>70</v>
      </c>
      <c r="B40" s="14" t="n">
        <f aca="false">SUM(B34:B39)</f>
        <v>2450</v>
      </c>
    </row>
    <row r="42" customFormat="false" ht="15" hidden="false" customHeight="false" outlineLevel="0" collapsed="false">
      <c r="A42" s="5" t="s">
        <v>71</v>
      </c>
      <c r="B42" s="5"/>
      <c r="C42" s="5"/>
      <c r="D42" s="5"/>
    </row>
    <row r="43" customFormat="false" ht="15" hidden="false" customHeight="false" outlineLevel="0" collapsed="false">
      <c r="A43" s="2" t="s">
        <v>72</v>
      </c>
      <c r="B43" s="6" t="n">
        <v>250</v>
      </c>
      <c r="C43" s="7" t="s">
        <v>73</v>
      </c>
    </row>
    <row r="44" customFormat="false" ht="15" hidden="false" customHeight="false" outlineLevel="0" collapsed="false">
      <c r="A44" s="2" t="s">
        <v>74</v>
      </c>
      <c r="B44" s="10" t="n">
        <v>0.04</v>
      </c>
      <c r="C44" s="7" t="s">
        <v>75</v>
      </c>
    </row>
    <row r="45" customFormat="false" ht="15" hidden="false" customHeight="false" outlineLevel="0" collapsed="false">
      <c r="A45" s="2" t="s">
        <v>76</v>
      </c>
      <c r="B45" s="15" t="n">
        <v>8</v>
      </c>
      <c r="C45" s="7"/>
    </row>
    <row r="46" customFormat="false" ht="15" hidden="false" customHeight="false" outlineLevel="0" collapsed="false">
      <c r="A46" s="2" t="s">
        <v>77</v>
      </c>
      <c r="B46" s="9" t="n">
        <v>0.35</v>
      </c>
      <c r="C46" s="7"/>
    </row>
    <row r="47" customFormat="false" ht="15" hidden="false" customHeight="false" outlineLevel="0" collapsed="false">
      <c r="A47" s="2" t="s">
        <v>78</v>
      </c>
      <c r="B47" s="16" t="n">
        <v>0.25</v>
      </c>
      <c r="C47" s="7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4"/>
    <col collapsed="false" customWidth="true" hidden="false" outlineLevel="0" max="5" min="5" style="0" width="46"/>
  </cols>
  <sheetData>
    <row r="1" customFormat="false" ht="17.35" hidden="false" customHeight="false" outlineLevel="0" collapsed="false">
      <c r="A1" s="1" t="s">
        <v>80</v>
      </c>
    </row>
    <row r="3" customFormat="false" ht="15" hidden="false" customHeight="false" outlineLevel="0" collapsed="false">
      <c r="A3" s="5" t="s">
        <v>81</v>
      </c>
      <c r="B3" s="5" t="s">
        <v>82</v>
      </c>
      <c r="C3" s="5" t="s">
        <v>83</v>
      </c>
      <c r="D3" s="5" t="s">
        <v>84</v>
      </c>
      <c r="E3" s="5" t="s">
        <v>85</v>
      </c>
    </row>
    <row r="4" customFormat="false" ht="15" hidden="false" customHeight="false" outlineLevel="0" collapsed="false">
      <c r="A4" s="2" t="s">
        <v>86</v>
      </c>
      <c r="B4" s="17" t="n">
        <f aca="false">Premissas!$B$19</f>
        <v>8</v>
      </c>
      <c r="C4" s="17" t="n">
        <f aca="false">Premissas!$B$19*1.3</f>
        <v>10.4</v>
      </c>
      <c r="D4" s="17" t="n">
        <f aca="false">Premissas!$B$19*1.8</f>
        <v>14.4</v>
      </c>
      <c r="E4" s="7" t="s">
        <v>87</v>
      </c>
    </row>
    <row r="5" customFormat="false" ht="15" hidden="false" customHeight="false" outlineLevel="0" collapsed="false">
      <c r="A5" s="2" t="s">
        <v>88</v>
      </c>
      <c r="B5" s="17" t="n">
        <f aca="false">Premissas!$B$20</f>
        <v>3</v>
      </c>
      <c r="C5" s="17" t="n">
        <f aca="false">Premissas!$B$20</f>
        <v>3</v>
      </c>
      <c r="D5" s="17" t="n">
        <f aca="false">Premissas!$B$20*1.5</f>
        <v>4.5</v>
      </c>
      <c r="E5" s="7"/>
    </row>
    <row r="6" customFormat="false" ht="15" hidden="false" customHeight="false" outlineLevel="0" collapsed="false">
      <c r="A6" s="2" t="s">
        <v>89</v>
      </c>
      <c r="B6" s="17" t="n">
        <f aca="false">Premissas!$B$21</f>
        <v>6</v>
      </c>
      <c r="C6" s="17" t="n">
        <f aca="false">Premissas!$B$21*1.5</f>
        <v>9</v>
      </c>
      <c r="D6" s="17" t="n">
        <f aca="false">Premissas!$B$21*2</f>
        <v>12</v>
      </c>
      <c r="E6" s="7" t="s">
        <v>90</v>
      </c>
    </row>
    <row r="7" customFormat="false" ht="15" hidden="false" customHeight="false" outlineLevel="0" collapsed="false">
      <c r="A7" s="2" t="s">
        <v>46</v>
      </c>
      <c r="B7" s="17" t="n">
        <f aca="false">Premissas!$B$22</f>
        <v>0</v>
      </c>
      <c r="C7" s="17" t="n">
        <f aca="false">Premissas!$B$22</f>
        <v>0</v>
      </c>
      <c r="D7" s="17" t="n">
        <f aca="false">Premissas!$B$22</f>
        <v>0</v>
      </c>
      <c r="E7" s="7" t="s">
        <v>91</v>
      </c>
    </row>
    <row r="8" customFormat="false" ht="15" hidden="false" customHeight="false" outlineLevel="0" collapsed="false">
      <c r="A8" s="2" t="s">
        <v>92</v>
      </c>
      <c r="B8" s="17" t="n">
        <f aca="false">Premissas!$B$23</f>
        <v>2</v>
      </c>
      <c r="C8" s="17" t="n">
        <f aca="false">Premissas!$B$23</f>
        <v>2</v>
      </c>
      <c r="D8" s="17" t="n">
        <f aca="false">Premissas!$B$23</f>
        <v>2</v>
      </c>
      <c r="E8" s="7"/>
    </row>
    <row r="9" customFormat="false" ht="15" hidden="false" customHeight="false" outlineLevel="0" collapsed="false">
      <c r="A9" s="2" t="s">
        <v>93</v>
      </c>
      <c r="B9" s="17" t="n">
        <f aca="false">Premissas!$B$25</f>
        <v>2</v>
      </c>
      <c r="C9" s="17" t="n">
        <f aca="false">Premissas!$B$25</f>
        <v>2</v>
      </c>
      <c r="D9" s="17" t="n">
        <f aca="false">Premissas!$B$25</f>
        <v>2</v>
      </c>
      <c r="E9" s="7"/>
    </row>
    <row r="10" customFormat="false" ht="15" hidden="false" customHeight="false" outlineLevel="0" collapsed="false">
      <c r="A10" s="2" t="s">
        <v>94</v>
      </c>
      <c r="B10" s="17" t="n">
        <f aca="false">Premissas!$B$5*Premissas!$B$24</f>
        <v>2.97</v>
      </c>
      <c r="C10" s="17" t="n">
        <f aca="false">Premissas!$B$6*Premissas!$B$24</f>
        <v>5.67</v>
      </c>
      <c r="D10" s="17" t="n">
        <f aca="false">Premissas!$B$7*Premissas!$B$24</f>
        <v>8.97</v>
      </c>
      <c r="E10" s="7" t="s">
        <v>95</v>
      </c>
    </row>
    <row r="11" customFormat="false" ht="15" hidden="false" customHeight="false" outlineLevel="0" collapsed="false">
      <c r="A11" s="2" t="s">
        <v>96</v>
      </c>
      <c r="B11" s="17" t="n">
        <f aca="false">Premissas!$B$31</f>
        <v>10.5</v>
      </c>
      <c r="C11" s="17" t="n">
        <f aca="false">Premissas!$B$31*1.2</f>
        <v>12.6</v>
      </c>
      <c r="D11" s="17" t="n">
        <f aca="false">Premissas!$B$31*1.5</f>
        <v>15.75</v>
      </c>
      <c r="E11" s="7" t="s">
        <v>97</v>
      </c>
    </row>
    <row r="12" customFormat="false" ht="15" hidden="false" customHeight="false" outlineLevel="0" collapsed="false">
      <c r="A12" s="3" t="s">
        <v>98</v>
      </c>
      <c r="B12" s="18" t="n">
        <f aca="false">SUM(B4:B11)</f>
        <v>34.47</v>
      </c>
      <c r="C12" s="18" t="n">
        <f aca="false">SUM(C4:C11)</f>
        <v>44.67</v>
      </c>
      <c r="D12" s="18" t="n">
        <f aca="false">SUM(D4:D11)</f>
        <v>59.62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14"/>
  </cols>
  <sheetData>
    <row r="1" customFormat="false" ht="17.35" hidden="false" customHeight="false" outlineLevel="0" collapsed="false">
      <c r="A1" s="1" t="s">
        <v>99</v>
      </c>
    </row>
    <row r="2" customFormat="false" ht="15" hidden="false" customHeight="false" outlineLevel="0" collapsed="false">
      <c r="A2" s="4" t="s">
        <v>100</v>
      </c>
    </row>
    <row r="4" customFormat="false" ht="15" hidden="false" customHeight="false" outlineLevel="0" collapsed="false">
      <c r="A4" s="5"/>
      <c r="B4" s="5" t="s">
        <v>82</v>
      </c>
      <c r="C4" s="5" t="s">
        <v>83</v>
      </c>
      <c r="D4" s="5" t="s">
        <v>84</v>
      </c>
    </row>
    <row r="5" customFormat="false" ht="15" hidden="false" customHeight="false" outlineLevel="0" collapsed="false">
      <c r="A5" s="2" t="s">
        <v>101</v>
      </c>
      <c r="B5" s="19" t="n">
        <f aca="false">Premissas!$B$5</f>
        <v>99</v>
      </c>
      <c r="C5" s="19" t="n">
        <f aca="false">Premissas!$B$6</f>
        <v>189</v>
      </c>
      <c r="D5" s="19" t="n">
        <f aca="false">Premissas!$B$7</f>
        <v>299</v>
      </c>
    </row>
    <row r="6" customFormat="false" ht="15" hidden="false" customHeight="false" outlineLevel="0" collapsed="false">
      <c r="A6" s="2" t="s">
        <v>102</v>
      </c>
      <c r="B6" s="19" t="n">
        <f aca="false">B5*(1-Premissas!$B$10*Premissas!$B$9)</f>
        <v>90.09</v>
      </c>
      <c r="C6" s="19" t="n">
        <f aca="false">C5*(1-Premissas!$B$10*Premissas!$B$9)</f>
        <v>171.99</v>
      </c>
      <c r="D6" s="19" t="n">
        <f aca="false">D5*(1-Premissas!$B$10*Premissas!$B$9)</f>
        <v>272.09</v>
      </c>
    </row>
    <row r="7" customFormat="false" ht="15" hidden="false" customHeight="false" outlineLevel="0" collapsed="false">
      <c r="A7" s="2" t="s">
        <v>103</v>
      </c>
      <c r="B7" s="19" t="n">
        <f aca="false">'Custo por Lojista'!B12</f>
        <v>34.47</v>
      </c>
      <c r="C7" s="19" t="n">
        <f aca="false">'Custo por Lojista'!C12</f>
        <v>44.67</v>
      </c>
      <c r="D7" s="19" t="n">
        <f aca="false">'Custo por Lojista'!D12</f>
        <v>59.62</v>
      </c>
    </row>
    <row r="8" customFormat="false" ht="15" hidden="false" customHeight="false" outlineLevel="0" collapsed="false">
      <c r="A8" s="3" t="s">
        <v>104</v>
      </c>
      <c r="B8" s="19" t="n">
        <f aca="false">B6-B7</f>
        <v>55.62</v>
      </c>
      <c r="C8" s="19" t="n">
        <f aca="false">C6-C7</f>
        <v>127.32</v>
      </c>
      <c r="D8" s="19" t="n">
        <f aca="false">D6-D7</f>
        <v>212.47</v>
      </c>
    </row>
    <row r="9" customFormat="false" ht="15" hidden="false" customHeight="false" outlineLevel="0" collapsed="false">
      <c r="A9" s="3" t="s">
        <v>105</v>
      </c>
      <c r="B9" s="20" t="n">
        <f aca="false">IFERROR(B8/B6,0)</f>
        <v>0.617382617382618</v>
      </c>
      <c r="C9" s="20" t="n">
        <f aca="false">IFERROR(C8/C6,0)</f>
        <v>0.740275597418455</v>
      </c>
      <c r="D9" s="20" t="n">
        <f aca="false">IFERROR(D8/D6,0)</f>
        <v>0.780881326031828</v>
      </c>
    </row>
    <row r="10" customFormat="false" ht="15" hidden="false" customHeight="false" outlineLevel="0" collapsed="false">
      <c r="A10" s="2"/>
      <c r="B10" s="2"/>
      <c r="C10" s="2"/>
      <c r="D10" s="2"/>
    </row>
    <row r="11" customFormat="false" ht="15" hidden="false" customHeight="false" outlineLevel="0" collapsed="false">
      <c r="A11" s="2" t="s">
        <v>106</v>
      </c>
      <c r="B11" s="19" t="n">
        <f aca="false">Premissas!$B$43</f>
        <v>250</v>
      </c>
      <c r="C11" s="19" t="n">
        <f aca="false">Premissas!$B$43</f>
        <v>250</v>
      </c>
      <c r="D11" s="19" t="n">
        <f aca="false">Premissas!$B$43</f>
        <v>250</v>
      </c>
    </row>
    <row r="12" customFormat="false" ht="15" hidden="false" customHeight="false" outlineLevel="0" collapsed="false">
      <c r="A12" s="3" t="s">
        <v>107</v>
      </c>
      <c r="B12" s="21" t="n">
        <f aca="false">IFERROR(B11/B8,0)</f>
        <v>4.49478604818411</v>
      </c>
      <c r="C12" s="21" t="n">
        <f aca="false">IFERROR(C11/C8,0)</f>
        <v>1.96355639333962</v>
      </c>
      <c r="D12" s="21" t="n">
        <f aca="false">IFERROR(D11/D8,0)</f>
        <v>1.176636701652</v>
      </c>
    </row>
    <row r="13" customFormat="false" ht="15" hidden="false" customHeight="false" outlineLevel="0" collapsed="false">
      <c r="A13" s="2" t="s">
        <v>108</v>
      </c>
      <c r="B13" s="21" t="n">
        <f aca="false">IFERROR(1/Premissas!$B$44,0)</f>
        <v>25</v>
      </c>
      <c r="C13" s="21" t="n">
        <f aca="false">IFERROR(1/Premissas!$B$44,0)</f>
        <v>25</v>
      </c>
      <c r="D13" s="21" t="n">
        <f aca="false">IFERROR(1/Premissas!$B$44,0)</f>
        <v>25</v>
      </c>
    </row>
    <row r="14" customFormat="false" ht="15" hidden="false" customHeight="false" outlineLevel="0" collapsed="false">
      <c r="A14" s="3" t="s">
        <v>109</v>
      </c>
      <c r="B14" s="19" t="n">
        <f aca="false">B8*B13</f>
        <v>1390.5</v>
      </c>
      <c r="C14" s="19" t="n">
        <f aca="false">C8*C13</f>
        <v>3183</v>
      </c>
      <c r="D14" s="19" t="n">
        <f aca="false">D8*D13</f>
        <v>5311.75</v>
      </c>
    </row>
    <row r="15" customFormat="false" ht="15" hidden="false" customHeight="false" outlineLevel="0" collapsed="false">
      <c r="A15" s="3" t="s">
        <v>110</v>
      </c>
      <c r="B15" s="22" t="n">
        <f aca="false">IFERROR(B14/B11,0)</f>
        <v>5.562</v>
      </c>
      <c r="C15" s="22" t="n">
        <f aca="false">IFERROR(C14/C11,0)</f>
        <v>12.732</v>
      </c>
      <c r="D15" s="22" t="n">
        <f aca="false">IFERROR(D14/D11,0)</f>
        <v>21.247</v>
      </c>
    </row>
    <row r="17" customFormat="false" ht="15" hidden="false" customHeight="false" outlineLevel="0" collapsed="false">
      <c r="A17" s="3" t="s">
        <v>111</v>
      </c>
    </row>
    <row r="18" customFormat="false" ht="15" hidden="false" customHeight="false" outlineLevel="0" collapsed="false">
      <c r="A18" s="7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5" min="2" style="0" width="12"/>
    <col collapsed="false" customWidth="true" hidden="false" outlineLevel="0" max="11" min="6" style="0" width="15"/>
    <col collapsed="false" customWidth="true" hidden="false" outlineLevel="0" max="14" min="14" style="0" width="22"/>
    <col collapsed="false" customWidth="true" hidden="false" outlineLevel="0" max="15" min="15" style="0" width="12"/>
  </cols>
  <sheetData>
    <row r="1" customFormat="false" ht="17.35" hidden="false" customHeight="false" outlineLevel="0" collapsed="false">
      <c r="A1" s="1" t="s">
        <v>113</v>
      </c>
      <c r="N1" s="3" t="s">
        <v>114</v>
      </c>
      <c r="O1" s="19" t="n">
        <f aca="false">'Margem por Plano'!B6*Premissas!B13+'Margem por Plano'!C6*Premissas!B14+'Margem por Plano'!D6*Premissas!B15</f>
        <v>146.055</v>
      </c>
    </row>
    <row r="2" customFormat="false" ht="15" hidden="false" customHeight="false" outlineLevel="0" collapsed="false">
      <c r="N2" s="3" t="s">
        <v>115</v>
      </c>
      <c r="O2" s="19" t="n">
        <f aca="false">'Margem por Plano'!B7*Premissas!B13+'Margem por Plano'!C7*Premissas!B14+'Margem por Plano'!D7*Premissas!B15</f>
        <v>41.8125</v>
      </c>
    </row>
    <row r="3" customFormat="false" ht="23.85" hidden="false" customHeight="false" outlineLevel="0" collapsed="false">
      <c r="A3" s="23" t="s">
        <v>116</v>
      </c>
      <c r="B3" s="23" t="s">
        <v>117</v>
      </c>
      <c r="C3" s="23" t="s">
        <v>118</v>
      </c>
      <c r="D3" s="23" t="s">
        <v>119</v>
      </c>
      <c r="E3" s="23" t="s">
        <v>120</v>
      </c>
      <c r="F3" s="23" t="s">
        <v>121</v>
      </c>
      <c r="G3" s="23" t="s">
        <v>122</v>
      </c>
      <c r="H3" s="23" t="s">
        <v>123</v>
      </c>
      <c r="I3" s="23" t="s">
        <v>124</v>
      </c>
      <c r="J3" s="23" t="s">
        <v>125</v>
      </c>
      <c r="K3" s="23" t="s">
        <v>126</v>
      </c>
    </row>
    <row r="4" customFormat="false" ht="15" hidden="false" customHeight="false" outlineLevel="0" collapsed="false">
      <c r="A4" s="24" t="n">
        <v>1</v>
      </c>
      <c r="B4" s="24" t="n">
        <v>0</v>
      </c>
      <c r="C4" s="24" t="n">
        <f aca="false">Premissas!$B$45</f>
        <v>8</v>
      </c>
      <c r="D4" s="24" t="n">
        <f aca="false">-B4*Premissas!$B$44</f>
        <v>-0</v>
      </c>
      <c r="E4" s="24" t="n">
        <f aca="false">B4+C4+D4</f>
        <v>8</v>
      </c>
      <c r="F4" s="25" t="n">
        <f aca="false">E4*$O$1</f>
        <v>1168.44</v>
      </c>
      <c r="G4" s="25" t="n">
        <f aca="false">-E4*$O$2</f>
        <v>-334.5</v>
      </c>
      <c r="H4" s="25" t="n">
        <f aca="false">-Premissas!$B$40</f>
        <v>-2450</v>
      </c>
      <c r="I4" s="25" t="n">
        <f aca="false">-C4*Premissas!$B$43</f>
        <v>-2000</v>
      </c>
      <c r="J4" s="26" t="n">
        <f aca="false">F4+G4+H4+I4</f>
        <v>-3616.06</v>
      </c>
      <c r="K4" s="26" t="n">
        <f aca="false">J4</f>
        <v>-3616.06</v>
      </c>
    </row>
    <row r="5" customFormat="false" ht="15" hidden="false" customHeight="false" outlineLevel="0" collapsed="false">
      <c r="A5" s="24" t="n">
        <v>2</v>
      </c>
      <c r="B5" s="24" t="n">
        <f aca="false">E4</f>
        <v>8</v>
      </c>
      <c r="C5" s="24" t="n">
        <f aca="false">Premissas!$B$45</f>
        <v>8</v>
      </c>
      <c r="D5" s="24" t="n">
        <f aca="false">-B5*Premissas!$B$44</f>
        <v>-0.32</v>
      </c>
      <c r="E5" s="24" t="n">
        <f aca="false">B5+C5+D5</f>
        <v>15.68</v>
      </c>
      <c r="F5" s="25" t="n">
        <f aca="false">E5*$O$1</f>
        <v>2290.1424</v>
      </c>
      <c r="G5" s="25" t="n">
        <f aca="false">-E5*$O$2</f>
        <v>-655.62</v>
      </c>
      <c r="H5" s="25" t="n">
        <f aca="false">-Premissas!$B$40</f>
        <v>-2450</v>
      </c>
      <c r="I5" s="25" t="n">
        <f aca="false">-C5*Premissas!$B$43</f>
        <v>-2000</v>
      </c>
      <c r="J5" s="26" t="n">
        <f aca="false">F5+G5+H5+I5</f>
        <v>-2815.4776</v>
      </c>
      <c r="K5" s="26" t="n">
        <f aca="false">K4+J5</f>
        <v>-6431.5376</v>
      </c>
    </row>
    <row r="6" customFormat="false" ht="15" hidden="false" customHeight="false" outlineLevel="0" collapsed="false">
      <c r="A6" s="24" t="n">
        <v>3</v>
      </c>
      <c r="B6" s="24" t="n">
        <f aca="false">E5</f>
        <v>15.68</v>
      </c>
      <c r="C6" s="24" t="n">
        <f aca="false">Premissas!$B$45</f>
        <v>8</v>
      </c>
      <c r="D6" s="24" t="n">
        <f aca="false">-B6*Premissas!$B$44</f>
        <v>-0.6272</v>
      </c>
      <c r="E6" s="24" t="n">
        <f aca="false">B6+C6+D6</f>
        <v>23.0528</v>
      </c>
      <c r="F6" s="25" t="n">
        <f aca="false">E6*$O$1</f>
        <v>3366.976704</v>
      </c>
      <c r="G6" s="25" t="n">
        <f aca="false">-E6*$O$2</f>
        <v>-963.8952</v>
      </c>
      <c r="H6" s="25" t="n">
        <f aca="false">-Premissas!$B$40</f>
        <v>-2450</v>
      </c>
      <c r="I6" s="25" t="n">
        <f aca="false">-C6*Premissas!$B$43</f>
        <v>-2000</v>
      </c>
      <c r="J6" s="26" t="n">
        <f aca="false">F6+G6+H6+I6</f>
        <v>-2046.918496</v>
      </c>
      <c r="K6" s="26" t="n">
        <f aca="false">K5+J6</f>
        <v>-8478.456096</v>
      </c>
    </row>
    <row r="7" customFormat="false" ht="15" hidden="false" customHeight="false" outlineLevel="0" collapsed="false">
      <c r="A7" s="24" t="n">
        <v>4</v>
      </c>
      <c r="B7" s="24" t="n">
        <f aca="false">E6</f>
        <v>23.0528</v>
      </c>
      <c r="C7" s="24" t="n">
        <f aca="false">Premissas!$B$45</f>
        <v>8</v>
      </c>
      <c r="D7" s="24" t="n">
        <f aca="false">-B7*Premissas!$B$44</f>
        <v>-0.922112</v>
      </c>
      <c r="E7" s="24" t="n">
        <f aca="false">B7+C7+D7</f>
        <v>30.130688</v>
      </c>
      <c r="F7" s="25" t="n">
        <f aca="false">E7*$O$1</f>
        <v>4400.73763584</v>
      </c>
      <c r="G7" s="25" t="n">
        <f aca="false">-E7*$O$2</f>
        <v>-1259.839392</v>
      </c>
      <c r="H7" s="25" t="n">
        <f aca="false">-Premissas!$B$40</f>
        <v>-2450</v>
      </c>
      <c r="I7" s="25" t="n">
        <f aca="false">-C7*Premissas!$B$43</f>
        <v>-2000</v>
      </c>
      <c r="J7" s="26" t="n">
        <f aca="false">F7+G7+H7+I7</f>
        <v>-1309.10175616</v>
      </c>
      <c r="K7" s="26" t="n">
        <f aca="false">K6+J7</f>
        <v>-9787.55785216</v>
      </c>
    </row>
    <row r="8" customFormat="false" ht="15" hidden="false" customHeight="false" outlineLevel="0" collapsed="false">
      <c r="A8" s="24" t="n">
        <v>5</v>
      </c>
      <c r="B8" s="24" t="n">
        <f aca="false">E7</f>
        <v>30.130688</v>
      </c>
      <c r="C8" s="24" t="n">
        <f aca="false">Premissas!$B$45</f>
        <v>8</v>
      </c>
      <c r="D8" s="24" t="n">
        <f aca="false">-B8*Premissas!$B$44</f>
        <v>-1.20522752</v>
      </c>
      <c r="E8" s="24" t="n">
        <f aca="false">B8+C8+D8</f>
        <v>36.92546048</v>
      </c>
      <c r="F8" s="25" t="n">
        <f aca="false">E8*$O$1</f>
        <v>5393.1481304064</v>
      </c>
      <c r="G8" s="25" t="n">
        <f aca="false">-E8*$O$2</f>
        <v>-1543.94581632</v>
      </c>
      <c r="H8" s="25" t="n">
        <f aca="false">-Premissas!$B$40</f>
        <v>-2450</v>
      </c>
      <c r="I8" s="25" t="n">
        <f aca="false">-C8*Premissas!$B$43</f>
        <v>-2000</v>
      </c>
      <c r="J8" s="26" t="n">
        <f aca="false">F8+G8+H8+I8</f>
        <v>-600.797685913599</v>
      </c>
      <c r="K8" s="26" t="n">
        <f aca="false">K7+J8</f>
        <v>-10388.3555380736</v>
      </c>
    </row>
    <row r="9" customFormat="false" ht="15" hidden="false" customHeight="false" outlineLevel="0" collapsed="false">
      <c r="A9" s="24" t="n">
        <v>6</v>
      </c>
      <c r="B9" s="24" t="n">
        <f aca="false">E8</f>
        <v>36.92546048</v>
      </c>
      <c r="C9" s="24" t="n">
        <f aca="false">Premissas!$B$45</f>
        <v>8</v>
      </c>
      <c r="D9" s="24" t="n">
        <f aca="false">-B9*Premissas!$B$44</f>
        <v>-1.4770184192</v>
      </c>
      <c r="E9" s="24" t="n">
        <f aca="false">B9+C9+D9</f>
        <v>43.4484420608</v>
      </c>
      <c r="F9" s="25" t="n">
        <f aca="false">E9*$O$1</f>
        <v>6345.86220519015</v>
      </c>
      <c r="G9" s="25" t="n">
        <f aca="false">-E9*$O$2</f>
        <v>-1816.6879836672</v>
      </c>
      <c r="H9" s="25" t="n">
        <f aca="false">-Premissas!$B$40</f>
        <v>-2450</v>
      </c>
      <c r="I9" s="25" t="n">
        <f aca="false">-C9*Premissas!$B$43</f>
        <v>-2000</v>
      </c>
      <c r="J9" s="26" t="n">
        <f aca="false">F9+G9+H9+I9</f>
        <v>79.1742215229442</v>
      </c>
      <c r="K9" s="26" t="n">
        <f aca="false">K8+J9</f>
        <v>-10309.1813165507</v>
      </c>
    </row>
    <row r="10" customFormat="false" ht="15" hidden="false" customHeight="false" outlineLevel="0" collapsed="false">
      <c r="A10" s="24" t="n">
        <v>7</v>
      </c>
      <c r="B10" s="24" t="n">
        <f aca="false">E9</f>
        <v>43.4484420608</v>
      </c>
      <c r="C10" s="24" t="n">
        <f aca="false">Premissas!$B$45</f>
        <v>8</v>
      </c>
      <c r="D10" s="24" t="n">
        <f aca="false">-B10*Premissas!$B$44</f>
        <v>-1.737937682432</v>
      </c>
      <c r="E10" s="24" t="n">
        <f aca="false">B10+C10+D10</f>
        <v>49.710504378368</v>
      </c>
      <c r="F10" s="25" t="n">
        <f aca="false">E10*$O$1</f>
        <v>7260.46771698254</v>
      </c>
      <c r="G10" s="25" t="n">
        <f aca="false">-E10*$O$2</f>
        <v>-2078.52046432051</v>
      </c>
      <c r="H10" s="25" t="n">
        <f aca="false">-Premissas!$B$40</f>
        <v>-2450</v>
      </c>
      <c r="I10" s="25" t="n">
        <f aca="false">-C10*Premissas!$B$43</f>
        <v>-2000</v>
      </c>
      <c r="J10" s="26" t="n">
        <f aca="false">F10+G10+H10+I10</f>
        <v>731.947252662028</v>
      </c>
      <c r="K10" s="26" t="n">
        <f aca="false">K9+J10</f>
        <v>-9577.23406388863</v>
      </c>
    </row>
    <row r="11" customFormat="false" ht="15" hidden="false" customHeight="false" outlineLevel="0" collapsed="false">
      <c r="A11" s="24" t="n">
        <v>8</v>
      </c>
      <c r="B11" s="24" t="n">
        <f aca="false">E10</f>
        <v>49.710504378368</v>
      </c>
      <c r="C11" s="24" t="n">
        <f aca="false">Premissas!$B$45</f>
        <v>8</v>
      </c>
      <c r="D11" s="24" t="n">
        <f aca="false">-B11*Premissas!$B$44</f>
        <v>-1.98842017513472</v>
      </c>
      <c r="E11" s="24" t="n">
        <f aca="false">B11+C11+D11</f>
        <v>55.7220842032333</v>
      </c>
      <c r="F11" s="25" t="n">
        <f aca="false">E11*$O$1</f>
        <v>8138.48900830324</v>
      </c>
      <c r="G11" s="25" t="n">
        <f aca="false">-E11*$O$2</f>
        <v>-2329.87964574769</v>
      </c>
      <c r="H11" s="25" t="n">
        <f aca="false">-Premissas!$B$40</f>
        <v>-2450</v>
      </c>
      <c r="I11" s="25" t="n">
        <f aca="false">-C11*Premissas!$B$43</f>
        <v>-2000</v>
      </c>
      <c r="J11" s="26" t="n">
        <f aca="false">F11+G11+H11+I11</f>
        <v>1358.60936255555</v>
      </c>
      <c r="K11" s="26" t="n">
        <f aca="false">K10+J11</f>
        <v>-8218.62470133308</v>
      </c>
    </row>
    <row r="12" customFormat="false" ht="15" hidden="false" customHeight="false" outlineLevel="0" collapsed="false">
      <c r="A12" s="24" t="n">
        <v>9</v>
      </c>
      <c r="B12" s="24" t="n">
        <f aca="false">E11</f>
        <v>55.7220842032333</v>
      </c>
      <c r="C12" s="24" t="n">
        <f aca="false">Premissas!$B$45</f>
        <v>8</v>
      </c>
      <c r="D12" s="24" t="n">
        <f aca="false">-B12*Premissas!$B$44</f>
        <v>-2.22888336812933</v>
      </c>
      <c r="E12" s="24" t="n">
        <f aca="false">B12+C12+D12</f>
        <v>61.493200835104</v>
      </c>
      <c r="F12" s="25" t="n">
        <f aca="false">E12*$O$1</f>
        <v>8981.38944797111</v>
      </c>
      <c r="G12" s="25" t="n">
        <f aca="false">-E12*$O$2</f>
        <v>-2571.18445991778</v>
      </c>
      <c r="H12" s="25" t="n">
        <f aca="false">-Premissas!$B$40</f>
        <v>-2450</v>
      </c>
      <c r="I12" s="25" t="n">
        <f aca="false">-C12*Premissas!$B$43</f>
        <v>-2000</v>
      </c>
      <c r="J12" s="26" t="n">
        <f aca="false">F12+G12+H12+I12</f>
        <v>1960.20498805333</v>
      </c>
      <c r="K12" s="26" t="n">
        <f aca="false">K11+J12</f>
        <v>-6258.41971327976</v>
      </c>
    </row>
    <row r="13" customFormat="false" ht="15" hidden="false" customHeight="false" outlineLevel="0" collapsed="false">
      <c r="A13" s="24" t="n">
        <v>10</v>
      </c>
      <c r="B13" s="24" t="n">
        <f aca="false">E12</f>
        <v>61.493200835104</v>
      </c>
      <c r="C13" s="24" t="n">
        <f aca="false">Premissas!$B$45</f>
        <v>8</v>
      </c>
      <c r="D13" s="24" t="n">
        <f aca="false">-B13*Premissas!$B$44</f>
        <v>-2.45972803340416</v>
      </c>
      <c r="E13" s="24" t="n">
        <f aca="false">B13+C13+D13</f>
        <v>67.0334728016998</v>
      </c>
      <c r="F13" s="25" t="n">
        <f aca="false">E13*$O$1</f>
        <v>9790.57387005226</v>
      </c>
      <c r="G13" s="25" t="n">
        <f aca="false">-E13*$O$2</f>
        <v>-2802.83708152107</v>
      </c>
      <c r="H13" s="25" t="n">
        <f aca="false">-Premissas!$B$40</f>
        <v>-2450</v>
      </c>
      <c r="I13" s="25" t="n">
        <f aca="false">-C13*Premissas!$B$43</f>
        <v>-2000</v>
      </c>
      <c r="J13" s="26" t="n">
        <f aca="false">F13+G13+H13+I13</f>
        <v>2537.73678853119</v>
      </c>
      <c r="K13" s="26" t="n">
        <f aca="false">K12+J13</f>
        <v>-3720.68292474857</v>
      </c>
    </row>
    <row r="14" customFormat="false" ht="15" hidden="false" customHeight="false" outlineLevel="0" collapsed="false">
      <c r="A14" s="24" t="n">
        <v>11</v>
      </c>
      <c r="B14" s="24" t="n">
        <f aca="false">E13</f>
        <v>67.0334728016998</v>
      </c>
      <c r="C14" s="24" t="n">
        <f aca="false">Premissas!$B$45</f>
        <v>8</v>
      </c>
      <c r="D14" s="24" t="n">
        <f aca="false">-B14*Premissas!$B$44</f>
        <v>-2.68133891206799</v>
      </c>
      <c r="E14" s="24" t="n">
        <f aca="false">B14+C14+D14</f>
        <v>72.3521338896318</v>
      </c>
      <c r="F14" s="25" t="n">
        <f aca="false">E14*$O$1</f>
        <v>10567.3909152502</v>
      </c>
      <c r="G14" s="25" t="n">
        <f aca="false">-E14*$O$2</f>
        <v>-3025.22359826023</v>
      </c>
      <c r="H14" s="25" t="n">
        <f aca="false">-Premissas!$B$40</f>
        <v>-2450</v>
      </c>
      <c r="I14" s="25" t="n">
        <f aca="false">-C14*Premissas!$B$43</f>
        <v>-2000</v>
      </c>
      <c r="J14" s="26" t="n">
        <f aca="false">F14+G14+H14+I14</f>
        <v>3092.16731698994</v>
      </c>
      <c r="K14" s="26" t="n">
        <f aca="false">K13+J14</f>
        <v>-628.515607758623</v>
      </c>
    </row>
    <row r="15" customFormat="false" ht="15" hidden="false" customHeight="false" outlineLevel="0" collapsed="false">
      <c r="A15" s="24" t="n">
        <v>12</v>
      </c>
      <c r="B15" s="24" t="n">
        <f aca="false">E14</f>
        <v>72.3521338896318</v>
      </c>
      <c r="C15" s="24" t="n">
        <f aca="false">Premissas!$B$45</f>
        <v>8</v>
      </c>
      <c r="D15" s="24" t="n">
        <f aca="false">-B15*Premissas!$B$44</f>
        <v>-2.89408535558527</v>
      </c>
      <c r="E15" s="24" t="n">
        <f aca="false">B15+C15+D15</f>
        <v>77.4580485340465</v>
      </c>
      <c r="F15" s="25" t="n">
        <f aca="false">E15*$O$1</f>
        <v>11313.1352786402</v>
      </c>
      <c r="G15" s="25" t="n">
        <f aca="false">-E15*$O$2</f>
        <v>-3238.71465432982</v>
      </c>
      <c r="H15" s="25" t="n">
        <f aca="false">-Premissas!$B$40</f>
        <v>-2450</v>
      </c>
      <c r="I15" s="25" t="n">
        <f aca="false">-C15*Premissas!$B$43</f>
        <v>-2000</v>
      </c>
      <c r="J15" s="26" t="n">
        <f aca="false">F15+G15+H15+I15</f>
        <v>3624.42062431035</v>
      </c>
      <c r="K15" s="26" t="n">
        <f aca="false">K14+J15</f>
        <v>2995.90501655172</v>
      </c>
    </row>
    <row r="16" customFormat="false" ht="15" hidden="false" customHeight="false" outlineLevel="0" collapsed="false">
      <c r="A16" s="24" t="n">
        <v>13</v>
      </c>
      <c r="B16" s="24" t="n">
        <f aca="false">E15</f>
        <v>77.4580485340465</v>
      </c>
      <c r="C16" s="24" t="n">
        <f aca="false">Premissas!$B$45</f>
        <v>8</v>
      </c>
      <c r="D16" s="24" t="n">
        <f aca="false">-B16*Premissas!$B$44</f>
        <v>-3.09832194136186</v>
      </c>
      <c r="E16" s="24" t="n">
        <f aca="false">B16+C16+D16</f>
        <v>82.3597265926847</v>
      </c>
      <c r="F16" s="25" t="n">
        <f aca="false">E16*$O$1</f>
        <v>12029.0498674946</v>
      </c>
      <c r="G16" s="25" t="n">
        <f aca="false">-E16*$O$2</f>
        <v>-3443.66606815663</v>
      </c>
      <c r="H16" s="25" t="n">
        <f aca="false">-Premissas!$B$40</f>
        <v>-2450</v>
      </c>
      <c r="I16" s="25" t="n">
        <f aca="false">-C16*Premissas!$B$43</f>
        <v>-2000</v>
      </c>
      <c r="J16" s="26" t="n">
        <f aca="false">F16+G16+H16+I16</f>
        <v>4135.38379933793</v>
      </c>
      <c r="K16" s="26" t="n">
        <f aca="false">K15+J16</f>
        <v>7131.28881588965</v>
      </c>
    </row>
    <row r="17" customFormat="false" ht="15" hidden="false" customHeight="false" outlineLevel="0" collapsed="false">
      <c r="A17" s="24" t="n">
        <v>14</v>
      </c>
      <c r="B17" s="24" t="n">
        <f aca="false">E16</f>
        <v>82.3597265926847</v>
      </c>
      <c r="C17" s="24" t="n">
        <f aca="false">Premissas!$B$45</f>
        <v>8</v>
      </c>
      <c r="D17" s="24" t="n">
        <f aca="false">-B17*Premissas!$B$44</f>
        <v>-3.29438906370739</v>
      </c>
      <c r="E17" s="24" t="n">
        <f aca="false">B17+C17+D17</f>
        <v>87.0653375289773</v>
      </c>
      <c r="F17" s="25" t="n">
        <f aca="false">E17*$O$1</f>
        <v>12716.3278727948</v>
      </c>
      <c r="G17" s="25" t="n">
        <f aca="false">-E17*$O$2</f>
        <v>-3640.41942543036</v>
      </c>
      <c r="H17" s="25" t="n">
        <f aca="false">-Premissas!$B$40</f>
        <v>-2450</v>
      </c>
      <c r="I17" s="25" t="n">
        <f aca="false">-C17*Premissas!$B$43</f>
        <v>-2000</v>
      </c>
      <c r="J17" s="26" t="n">
        <f aca="false">F17+G17+H17+I17</f>
        <v>4625.90844736442</v>
      </c>
      <c r="K17" s="26" t="n">
        <f aca="false">K16+J17</f>
        <v>11757.1972632541</v>
      </c>
    </row>
    <row r="18" customFormat="false" ht="15" hidden="false" customHeight="false" outlineLevel="0" collapsed="false">
      <c r="A18" s="24" t="n">
        <v>15</v>
      </c>
      <c r="B18" s="24" t="n">
        <f aca="false">E17</f>
        <v>87.0653375289773</v>
      </c>
      <c r="C18" s="24" t="n">
        <f aca="false">Premissas!$B$45</f>
        <v>8</v>
      </c>
      <c r="D18" s="24" t="n">
        <f aca="false">-B18*Premissas!$B$44</f>
        <v>-3.48261350115909</v>
      </c>
      <c r="E18" s="24" t="n">
        <f aca="false">B18+C18+D18</f>
        <v>91.5827240278182</v>
      </c>
      <c r="F18" s="25" t="n">
        <f aca="false">E18*$O$1</f>
        <v>13376.114757883</v>
      </c>
      <c r="G18" s="25" t="n">
        <f aca="false">-E18*$O$2</f>
        <v>-3829.30264841315</v>
      </c>
      <c r="H18" s="25" t="n">
        <f aca="false">-Premissas!$B$40</f>
        <v>-2450</v>
      </c>
      <c r="I18" s="25" t="n">
        <f aca="false">-C18*Premissas!$B$43</f>
        <v>-2000</v>
      </c>
      <c r="J18" s="26" t="n">
        <f aca="false">F18+G18+H18+I18</f>
        <v>5096.81210946984</v>
      </c>
      <c r="K18" s="26" t="n">
        <f aca="false">K17+J18</f>
        <v>16854.0093727239</v>
      </c>
    </row>
    <row r="19" customFormat="false" ht="15" hidden="false" customHeight="false" outlineLevel="0" collapsed="false">
      <c r="A19" s="24" t="n">
        <v>16</v>
      </c>
      <c r="B19" s="24" t="n">
        <f aca="false">E18</f>
        <v>91.5827240278182</v>
      </c>
      <c r="C19" s="24" t="n">
        <f aca="false">Premissas!$B$45</f>
        <v>8</v>
      </c>
      <c r="D19" s="24" t="n">
        <f aca="false">-B19*Premissas!$B$44</f>
        <v>-3.66330896111273</v>
      </c>
      <c r="E19" s="24" t="n">
        <f aca="false">B19+C19+D19</f>
        <v>95.9194150667055</v>
      </c>
      <c r="F19" s="25" t="n">
        <f aca="false">E19*$O$1</f>
        <v>14009.5101675677</v>
      </c>
      <c r="G19" s="25" t="n">
        <f aca="false">-E19*$O$2</f>
        <v>-4010.63054247662</v>
      </c>
      <c r="H19" s="25" t="n">
        <f aca="false">-Premissas!$B$40</f>
        <v>-2450</v>
      </c>
      <c r="I19" s="25" t="n">
        <f aca="false">-C19*Premissas!$B$43</f>
        <v>-2000</v>
      </c>
      <c r="J19" s="26" t="n">
        <f aca="false">F19+G19+H19+I19</f>
        <v>5548.87962509104</v>
      </c>
      <c r="K19" s="26" t="n">
        <f aca="false">K18+J19</f>
        <v>22402.888997815</v>
      </c>
    </row>
    <row r="20" customFormat="false" ht="15" hidden="false" customHeight="false" outlineLevel="0" collapsed="false">
      <c r="A20" s="24" t="n">
        <v>17</v>
      </c>
      <c r="B20" s="24" t="n">
        <f aca="false">E19</f>
        <v>95.9194150667055</v>
      </c>
      <c r="C20" s="24" t="n">
        <f aca="false">Premissas!$B$45</f>
        <v>8</v>
      </c>
      <c r="D20" s="24" t="n">
        <f aca="false">-B20*Premissas!$B$44</f>
        <v>-3.83677660266822</v>
      </c>
      <c r="E20" s="24" t="n">
        <f aca="false">B20+C20+D20</f>
        <v>100.082638464037</v>
      </c>
      <c r="F20" s="25" t="n">
        <f aca="false">E20*$O$1</f>
        <v>14617.569760865</v>
      </c>
      <c r="G20" s="25" t="n">
        <f aca="false">-E20*$O$2</f>
        <v>-4184.70532077756</v>
      </c>
      <c r="H20" s="25" t="n">
        <f aca="false">-Premissas!$B$40</f>
        <v>-2450</v>
      </c>
      <c r="I20" s="25" t="n">
        <f aca="false">-C20*Premissas!$B$43</f>
        <v>-2000</v>
      </c>
      <c r="J20" s="26" t="n">
        <f aca="false">F20+G20+H20+I20</f>
        <v>5982.8644400874</v>
      </c>
      <c r="K20" s="26" t="n">
        <f aca="false">K19+J20</f>
        <v>28385.7534379024</v>
      </c>
    </row>
    <row r="21" customFormat="false" ht="15" hidden="false" customHeight="false" outlineLevel="0" collapsed="false">
      <c r="A21" s="24" t="n">
        <v>18</v>
      </c>
      <c r="B21" s="24" t="n">
        <f aca="false">E20</f>
        <v>100.082638464037</v>
      </c>
      <c r="C21" s="24" t="n">
        <f aca="false">Premissas!$B$45</f>
        <v>8</v>
      </c>
      <c r="D21" s="24" t="n">
        <f aca="false">-B21*Premissas!$B$44</f>
        <v>-4.00330553856149</v>
      </c>
      <c r="E21" s="24" t="n">
        <f aca="false">B21+C21+D21</f>
        <v>104.079332925476</v>
      </c>
      <c r="F21" s="25" t="n">
        <f aca="false">E21*$O$1</f>
        <v>15201.3069704304</v>
      </c>
      <c r="G21" s="25" t="n">
        <f aca="false">-E21*$O$2</f>
        <v>-4351.81710794646</v>
      </c>
      <c r="H21" s="25" t="n">
        <f aca="false">-Premissas!$B$40</f>
        <v>-2450</v>
      </c>
      <c r="I21" s="25" t="n">
        <f aca="false">-C21*Premissas!$B$43</f>
        <v>-2000</v>
      </c>
      <c r="J21" s="26" t="n">
        <f aca="false">F21+G21+H21+I21</f>
        <v>6399.4898624839</v>
      </c>
      <c r="K21" s="26" t="n">
        <f aca="false">K20+J21</f>
        <v>34785.2433003863</v>
      </c>
    </row>
    <row r="22" customFormat="false" ht="15" hidden="false" customHeight="false" outlineLevel="0" collapsed="false">
      <c r="A22" s="24" t="n">
        <v>19</v>
      </c>
      <c r="B22" s="24" t="n">
        <f aca="false">E21</f>
        <v>104.079332925476</v>
      </c>
      <c r="C22" s="24" t="n">
        <f aca="false">Premissas!$B$45</f>
        <v>8</v>
      </c>
      <c r="D22" s="24" t="n">
        <f aca="false">-B22*Premissas!$B$44</f>
        <v>-4.16317331701903</v>
      </c>
      <c r="E22" s="24" t="n">
        <f aca="false">B22+C22+D22</f>
        <v>107.916159608457</v>
      </c>
      <c r="F22" s="25" t="n">
        <f aca="false">E22*$O$1</f>
        <v>15761.6946916131</v>
      </c>
      <c r="G22" s="25" t="n">
        <f aca="false">-E22*$O$2</f>
        <v>-4512.2444236286</v>
      </c>
      <c r="H22" s="25" t="n">
        <f aca="false">-Premissas!$B$40</f>
        <v>-2450</v>
      </c>
      <c r="I22" s="25" t="n">
        <f aca="false">-C22*Premissas!$B$43</f>
        <v>-2000</v>
      </c>
      <c r="J22" s="26" t="n">
        <f aca="false">F22+G22+H22+I22</f>
        <v>6799.45026798455</v>
      </c>
      <c r="K22" s="26" t="n">
        <f aca="false">K21+J22</f>
        <v>41584.6935683708</v>
      </c>
    </row>
    <row r="23" customFormat="false" ht="15" hidden="false" customHeight="false" outlineLevel="0" collapsed="false">
      <c r="A23" s="24" t="n">
        <v>20</v>
      </c>
      <c r="B23" s="24" t="n">
        <f aca="false">E22</f>
        <v>107.916159608457</v>
      </c>
      <c r="C23" s="24" t="n">
        <f aca="false">Premissas!$B$45</f>
        <v>8</v>
      </c>
      <c r="D23" s="24" t="n">
        <f aca="false">-B23*Premissas!$B$44</f>
        <v>-4.31664638433827</v>
      </c>
      <c r="E23" s="24" t="n">
        <f aca="false">B23+C23+D23</f>
        <v>111.599513224118</v>
      </c>
      <c r="F23" s="25" t="n">
        <f aca="false">E23*$O$1</f>
        <v>16299.6669039486</v>
      </c>
      <c r="G23" s="25" t="n">
        <f aca="false">-E23*$O$2</f>
        <v>-4666.25464668345</v>
      </c>
      <c r="H23" s="25" t="n">
        <f aca="false">-Premissas!$B$40</f>
        <v>-2450</v>
      </c>
      <c r="I23" s="25" t="n">
        <f aca="false">-C23*Premissas!$B$43</f>
        <v>-2000</v>
      </c>
      <c r="J23" s="26" t="n">
        <f aca="false">F23+G23+H23+I23</f>
        <v>7183.41225726517</v>
      </c>
      <c r="K23" s="26" t="n">
        <f aca="false">K22+J23</f>
        <v>48768.105825636</v>
      </c>
    </row>
    <row r="24" customFormat="false" ht="15" hidden="false" customHeight="false" outlineLevel="0" collapsed="false">
      <c r="A24" s="24" t="n">
        <v>21</v>
      </c>
      <c r="B24" s="24" t="n">
        <f aca="false">E23</f>
        <v>111.599513224118</v>
      </c>
      <c r="C24" s="24" t="n">
        <f aca="false">Premissas!$B$45</f>
        <v>8</v>
      </c>
      <c r="D24" s="24" t="n">
        <f aca="false">-B24*Premissas!$B$44</f>
        <v>-4.46398052896474</v>
      </c>
      <c r="E24" s="24" t="n">
        <f aca="false">B24+C24+D24</f>
        <v>115.135532695154</v>
      </c>
      <c r="F24" s="25" t="n">
        <f aca="false">E24*$O$1</f>
        <v>16816.1202277907</v>
      </c>
      <c r="G24" s="25" t="n">
        <f aca="false">-E24*$O$2</f>
        <v>-4814.10446081611</v>
      </c>
      <c r="H24" s="25" t="n">
        <f aca="false">-Premissas!$B$40</f>
        <v>-2450</v>
      </c>
      <c r="I24" s="25" t="n">
        <f aca="false">-C24*Premissas!$B$43</f>
        <v>-2000</v>
      </c>
      <c r="J24" s="26" t="n">
        <f aca="false">F24+G24+H24+I24</f>
        <v>7552.01576697456</v>
      </c>
      <c r="K24" s="26" t="n">
        <f aca="false">K23+J24</f>
        <v>56320.1215926105</v>
      </c>
    </row>
    <row r="25" customFormat="false" ht="15" hidden="false" customHeight="false" outlineLevel="0" collapsed="false">
      <c r="A25" s="24" t="n">
        <v>22</v>
      </c>
      <c r="B25" s="24" t="n">
        <f aca="false">E24</f>
        <v>115.135532695154</v>
      </c>
      <c r="C25" s="24" t="n">
        <f aca="false">Premissas!$B$45</f>
        <v>8</v>
      </c>
      <c r="D25" s="24" t="n">
        <f aca="false">-B25*Premissas!$B$44</f>
        <v>-4.60542130780615</v>
      </c>
      <c r="E25" s="24" t="n">
        <f aca="false">B25+C25+D25</f>
        <v>118.530111387348</v>
      </c>
      <c r="F25" s="25" t="n">
        <f aca="false">E25*$O$1</f>
        <v>17311.915418679</v>
      </c>
      <c r="G25" s="25" t="n">
        <f aca="false">-E25*$O$2</f>
        <v>-4956.04028238347</v>
      </c>
      <c r="H25" s="25" t="n">
        <f aca="false">-Premissas!$B$40</f>
        <v>-2450</v>
      </c>
      <c r="I25" s="25" t="n">
        <f aca="false">-C25*Premissas!$B$43</f>
        <v>-2000</v>
      </c>
      <c r="J25" s="26" t="n">
        <f aca="false">F25+G25+H25+I25</f>
        <v>7905.87513629558</v>
      </c>
      <c r="K25" s="26" t="n">
        <f aca="false">K24+J25</f>
        <v>64225.9967289061</v>
      </c>
    </row>
    <row r="26" customFormat="false" ht="15" hidden="false" customHeight="false" outlineLevel="0" collapsed="false">
      <c r="A26" s="24" t="n">
        <v>23</v>
      </c>
      <c r="B26" s="24" t="n">
        <f aca="false">E25</f>
        <v>118.530111387348</v>
      </c>
      <c r="C26" s="24" t="n">
        <f aca="false">Premissas!$B$45</f>
        <v>8</v>
      </c>
      <c r="D26" s="24" t="n">
        <f aca="false">-B26*Premissas!$B$44</f>
        <v>-4.7412044554939</v>
      </c>
      <c r="E26" s="24" t="n">
        <f aca="false">B26+C26+D26</f>
        <v>121.788906931854</v>
      </c>
      <c r="F26" s="25" t="n">
        <f aca="false">E26*$O$1</f>
        <v>17787.8788019319</v>
      </c>
      <c r="G26" s="25" t="n">
        <f aca="false">-E26*$O$2</f>
        <v>-5092.29867108813</v>
      </c>
      <c r="H26" s="25" t="n">
        <f aca="false">-Premissas!$B$40</f>
        <v>-2450</v>
      </c>
      <c r="I26" s="25" t="n">
        <f aca="false">-C26*Premissas!$B$43</f>
        <v>-2000</v>
      </c>
      <c r="J26" s="26" t="n">
        <f aca="false">F26+G26+H26+I26</f>
        <v>8245.58013084376</v>
      </c>
      <c r="K26" s="26" t="n">
        <f aca="false">K25+J26</f>
        <v>72471.5768597499</v>
      </c>
    </row>
    <row r="27" customFormat="false" ht="15" hidden="false" customHeight="false" outlineLevel="0" collapsed="false">
      <c r="A27" s="24" t="n">
        <v>24</v>
      </c>
      <c r="B27" s="24" t="n">
        <f aca="false">E26</f>
        <v>121.788906931854</v>
      </c>
      <c r="C27" s="24" t="n">
        <f aca="false">Premissas!$B$45</f>
        <v>8</v>
      </c>
      <c r="D27" s="24" t="n">
        <f aca="false">-B27*Premissas!$B$44</f>
        <v>-4.87155627727415</v>
      </c>
      <c r="E27" s="24" t="n">
        <f aca="false">B27+C27+D27</f>
        <v>124.91735065458</v>
      </c>
      <c r="F27" s="25" t="n">
        <f aca="false">E27*$O$1</f>
        <v>18244.8036498546</v>
      </c>
      <c r="G27" s="25" t="n">
        <f aca="false">-E27*$O$2</f>
        <v>-5223.10672424461</v>
      </c>
      <c r="H27" s="25" t="n">
        <f aca="false">-Premissas!$B$40</f>
        <v>-2450</v>
      </c>
      <c r="I27" s="25" t="n">
        <f aca="false">-C27*Premissas!$B$43</f>
        <v>-2000</v>
      </c>
      <c r="J27" s="26" t="n">
        <f aca="false">F27+G27+H27+I27</f>
        <v>8571.69692561</v>
      </c>
      <c r="K27" s="26" t="n">
        <f aca="false">K26+J27</f>
        <v>81043.2737853599</v>
      </c>
    </row>
    <row r="29" customFormat="false" ht="15" hidden="false" customHeight="false" outlineLevel="0" collapsed="false">
      <c r="A29" s="7" t="s">
        <v>127</v>
      </c>
    </row>
    <row r="30" customFormat="false" ht="15" hidden="false" customHeight="false" outlineLevel="0" collapsed="false">
      <c r="A30" s="3" t="s">
        <v>128</v>
      </c>
      <c r="C30" s="27" t="n">
        <f aca="false">IFERROR(Premissas!B40/($O$1-$O$2),0)</f>
        <v>23.5028898961556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24"/>
    <col collapsed="false" customWidth="true" hidden="false" outlineLevel="0" max="5" min="5" style="0" width="18"/>
  </cols>
  <sheetData>
    <row r="1" customFormat="false" ht="17.35" hidden="false" customHeight="false" outlineLevel="0" collapsed="false">
      <c r="A1" s="1" t="s">
        <v>129</v>
      </c>
    </row>
    <row r="2" customFormat="false" ht="15" hidden="false" customHeight="false" outlineLevel="0" collapsed="false">
      <c r="A2" s="4" t="s">
        <v>130</v>
      </c>
    </row>
    <row r="4" customFormat="false" ht="23.85" hidden="false" customHeight="false" outlineLevel="0" collapsed="false">
      <c r="A4" s="28" t="s">
        <v>131</v>
      </c>
      <c r="B4" s="28" t="s">
        <v>132</v>
      </c>
      <c r="C4" s="28" t="s">
        <v>74</v>
      </c>
      <c r="D4" s="28" t="s">
        <v>133</v>
      </c>
      <c r="E4" s="28" t="s">
        <v>134</v>
      </c>
    </row>
    <row r="5" customFormat="false" ht="15" hidden="false" customHeight="false" outlineLevel="0" collapsed="false">
      <c r="A5" s="3" t="s">
        <v>135</v>
      </c>
      <c r="B5" s="13" t="n">
        <v>4</v>
      </c>
      <c r="C5" s="9" t="n">
        <v>0.07</v>
      </c>
      <c r="D5" s="24" t="n">
        <f aca="false">IFERROR(B5/C5*(1-(1-C5)^24),0)</f>
        <v>47.1301222706607</v>
      </c>
      <c r="E5" s="26" t="n">
        <f aca="false">D5*'Projeção 24m'!$O$1</f>
        <v>6883.59000824135</v>
      </c>
    </row>
    <row r="6" customFormat="false" ht="15" hidden="false" customHeight="false" outlineLevel="0" collapsed="false">
      <c r="A6" s="3" t="s">
        <v>136</v>
      </c>
      <c r="B6" s="13" t="n">
        <v>8</v>
      </c>
      <c r="C6" s="9" t="n">
        <v>0.04</v>
      </c>
      <c r="D6" s="24" t="n">
        <f aca="false">IFERROR(B6/C6*(1-(1-C6)^24),0)</f>
        <v>124.91735065458</v>
      </c>
      <c r="E6" s="26" t="n">
        <f aca="false">D6*'Projeção 24m'!$O$1</f>
        <v>18244.8036498546</v>
      </c>
    </row>
    <row r="7" customFormat="false" ht="15" hidden="false" customHeight="false" outlineLevel="0" collapsed="false">
      <c r="A7" s="3" t="s">
        <v>137</v>
      </c>
      <c r="B7" s="13" t="n">
        <v>15</v>
      </c>
      <c r="C7" s="9" t="n">
        <v>0.025</v>
      </c>
      <c r="D7" s="24" t="n">
        <f aca="false">IFERROR(B7/C7*(1-(1-C7)^24),0)</f>
        <v>273.215064934276</v>
      </c>
      <c r="E7" s="26" t="n">
        <f aca="false">D7*'Projeção 24m'!$O$1</f>
        <v>39904.4263089757</v>
      </c>
    </row>
    <row r="9" customFormat="false" ht="15" hidden="false" customHeight="false" outlineLevel="0" collapsed="false">
      <c r="A9" s="3" t="s">
        <v>138</v>
      </c>
      <c r="D9" s="29" t="n">
        <f aca="false">IFERROR(B6/C6,0)</f>
        <v>200</v>
      </c>
    </row>
    <row r="10" customFormat="false" ht="15" hidden="false" customHeight="false" outlineLevel="0" collapsed="false">
      <c r="A10" s="7" t="s">
        <v>139</v>
      </c>
    </row>
    <row r="11" customFormat="false" ht="15" hidden="false" customHeight="false" outlineLevel="0" collapsed="false">
      <c r="A11" s="7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2026-07-13T20:38:35Z</dcterms:created>
  <dc:creator>openpyxl</dc:creator>
  <dc:description/>
  <dc:language>en-US</dc:language>
  <cp:lastModifiedBy/>
  <dcterms:modified xsi:type="dcterms:W3CDTF">2026-07-13T20:38:35Z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